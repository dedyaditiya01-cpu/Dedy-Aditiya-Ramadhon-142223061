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<sst xmlns="http://schemas.openxmlformats.org/spreadsheetml/2006/main" count="476" uniqueCount="43">
  <si>
    <t>Timestamp</t>
  </si>
  <si>
    <t>Status Anda saat ini</t>
  </si>
  <si>
    <t xml:space="preserve">  Usia  </t>
  </si>
  <si>
    <t xml:space="preserve">  Jenis kelamin  </t>
  </si>
  <si>
    <t xml:space="preserve">Saat menghadapi masalah  </t>
  </si>
  <si>
    <t xml:space="preserve">Jika ada orang melakukan kesalahan  </t>
  </si>
  <si>
    <t xml:space="preserve">Ketika rencana gagal  </t>
  </si>
  <si>
    <t>Ketika ada tugas</t>
  </si>
  <si>
    <t xml:space="preserve">Waktu luang  </t>
  </si>
  <si>
    <t xml:space="preserve">Mendekati deadline  </t>
  </si>
  <si>
    <t xml:space="preserve">Saat menghadapi kesulitan  </t>
  </si>
  <si>
    <t xml:space="preserve">Beban kerja/tugas banyak  </t>
  </si>
  <si>
    <t>Mahasiswa</t>
  </si>
  <si>
    <t>20–25 tahun</t>
  </si>
  <si>
    <t>Perempuan</t>
  </si>
  <si>
    <t>Saya tetap tenang</t>
  </si>
  <si>
    <t>Saya mencoba memahami dulu</t>
  </si>
  <si>
    <t>Saya cepat frustrasi</t>
  </si>
  <si>
    <t>Saya sering menunda</t>
  </si>
  <si>
    <t>Lebih banyak digunakan untuk santai</t>
  </si>
  <si>
    <t>Baru mulai mengerjakan</t>
  </si>
  <si>
    <t>Saya terus mencoba</t>
  </si>
  <si>
    <t>Saya tetap berusaha menyelesaikan</t>
  </si>
  <si>
    <t>26–30 tahun</t>
  </si>
  <si>
    <t>Laki-laki</t>
  </si>
  <si>
    <t>Saya mencari solusi</t>
  </si>
  <si>
    <t>Saya langsung mengerjakan</t>
  </si>
  <si>
    <t>Digunakan untuk hal produktif</t>
  </si>
  <si>
    <t>Sudah selesai sebelumnya</t>
  </si>
  <si>
    <t>Saya mudah emosi</t>
  </si>
  <si>
    <t>Saya langsung kesal/marah</t>
  </si>
  <si>
    <t>Saya cenderung menyerah</t>
  </si>
  <si>
    <t>Keduanya</t>
  </si>
  <si>
    <t>Pekerja</t>
  </si>
  <si>
    <t>Saya merasa kewalahan dan berhenti</t>
  </si>
  <si>
    <t>&lt; 20 tahun</t>
  </si>
  <si>
    <t>30 tahun &gt;</t>
  </si>
  <si>
    <t>Jenis kelamin</t>
  </si>
  <si>
    <t>Frequency</t>
  </si>
  <si>
    <t>Precent</t>
  </si>
  <si>
    <t>Komulatif</t>
  </si>
  <si>
    <t>TOTAL</t>
  </si>
  <si>
    <t>Usia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</si>
</sst>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5B3F86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horizontal="left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3" fontId="2" numFmtId="0" xfId="0" applyAlignment="1" applyFill="1" applyFont="1">
      <alignment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0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4" fontId="2" numFmtId="0" xfId="0" applyAlignment="1" applyFill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41" displayName="Form_Responses" name="Form_Responses" id="1">
  <tableColumns count="12">
    <tableColumn name="Timestamp" id="1"/>
    <tableColumn name="Status Anda saat ini" id="2"/>
    <tableColumn name="  Usia  " id="3"/>
    <tableColumn name="  Jenis kelamin  " id="4"/>
    <tableColumn name="Saat menghadapi masalah  " id="5"/>
    <tableColumn name="Jika ada orang melakukan kesalahan  " id="6"/>
    <tableColumn name="Ketika rencana gagal  " id="7"/>
    <tableColumn name="Ketika ada tugas" id="8"/>
    <tableColumn name="Waktu luang  " id="9"/>
    <tableColumn name="Mendekati deadline  " id="10"/>
    <tableColumn name="Saat menghadapi kesulitan  " id="11"/>
    <tableColumn name="Beban kerja/tugas banyak  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88"/>
    <col customWidth="1" min="3" max="4" width="18.88"/>
    <col customWidth="1" min="5" max="5" width="25.5"/>
    <col customWidth="1" min="6" max="6" width="32.88"/>
    <col customWidth="1" min="7" max="7" width="21.38"/>
    <col customWidth="1" min="8" max="8" width="18.88"/>
    <col customWidth="1" min="9" max="9" width="32.38"/>
    <col customWidth="1" min="10" max="10" width="22.88"/>
    <col customWidth="1" min="11" max="11" width="25.75"/>
    <col customWidth="1" min="12" max="12" width="31.75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46126.55161811343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ht="22.5" customHeight="1">
      <c r="A3" s="2">
        <v>46126.622695439815</v>
      </c>
      <c r="B3" s="3" t="s">
        <v>12</v>
      </c>
      <c r="C3" s="3" t="s">
        <v>23</v>
      </c>
      <c r="D3" s="3" t="s">
        <v>24</v>
      </c>
      <c r="E3" s="3" t="s">
        <v>15</v>
      </c>
      <c r="F3" s="3" t="s">
        <v>16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21</v>
      </c>
      <c r="L3" s="3" t="s">
        <v>22</v>
      </c>
    </row>
    <row r="4" ht="22.5" customHeight="1">
      <c r="A4" s="2">
        <v>46126.623842245375</v>
      </c>
      <c r="B4" s="3" t="s">
        <v>12</v>
      </c>
      <c r="C4" s="3" t="s">
        <v>13</v>
      </c>
      <c r="D4" s="3" t="s">
        <v>14</v>
      </c>
      <c r="E4" s="4" t="s">
        <v>29</v>
      </c>
      <c r="F4" s="3" t="s">
        <v>30</v>
      </c>
      <c r="G4" s="3" t="s">
        <v>17</v>
      </c>
      <c r="H4" s="3" t="s">
        <v>18</v>
      </c>
      <c r="I4" s="3" t="s">
        <v>19</v>
      </c>
      <c r="J4" s="3" t="s">
        <v>28</v>
      </c>
      <c r="K4" s="3" t="s">
        <v>31</v>
      </c>
      <c r="L4" s="3" t="s">
        <v>22</v>
      </c>
    </row>
    <row r="5" ht="22.5" customHeight="1">
      <c r="A5" s="2">
        <v>46126.62394372685</v>
      </c>
      <c r="B5" s="3" t="s">
        <v>32</v>
      </c>
      <c r="C5" s="3" t="s">
        <v>23</v>
      </c>
      <c r="D5" s="3" t="s">
        <v>24</v>
      </c>
      <c r="E5" s="3" t="s">
        <v>29</v>
      </c>
      <c r="F5" s="3" t="s">
        <v>16</v>
      </c>
      <c r="G5" s="3" t="s">
        <v>25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</row>
    <row r="6" ht="22.5" customHeight="1">
      <c r="A6" s="2">
        <v>46126.624176261575</v>
      </c>
      <c r="B6" s="3" t="s">
        <v>33</v>
      </c>
      <c r="C6" s="3" t="s">
        <v>13</v>
      </c>
      <c r="D6" s="3" t="s">
        <v>24</v>
      </c>
      <c r="E6" s="3" t="s">
        <v>15</v>
      </c>
      <c r="F6" s="3" t="s">
        <v>30</v>
      </c>
      <c r="G6" s="3" t="s">
        <v>25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34</v>
      </c>
    </row>
    <row r="7" ht="22.5" customHeight="1">
      <c r="A7" s="5">
        <v>46126.66705371528</v>
      </c>
      <c r="B7" s="6" t="s">
        <v>12</v>
      </c>
      <c r="C7" s="6" t="s">
        <v>13</v>
      </c>
      <c r="D7" s="6" t="s">
        <v>14</v>
      </c>
      <c r="E7" s="6" t="s">
        <v>29</v>
      </c>
      <c r="F7" s="6" t="s">
        <v>16</v>
      </c>
      <c r="G7" s="6" t="s">
        <v>25</v>
      </c>
      <c r="H7" s="6" t="s">
        <v>26</v>
      </c>
      <c r="I7" s="6" t="s">
        <v>19</v>
      </c>
      <c r="J7" s="6" t="s">
        <v>28</v>
      </c>
      <c r="K7" s="6" t="s">
        <v>21</v>
      </c>
      <c r="L7" s="6" t="s">
        <v>22</v>
      </c>
    </row>
    <row r="8" ht="22.5" customHeight="1">
      <c r="A8" s="5">
        <v>46126.667834803244</v>
      </c>
      <c r="B8" s="6" t="s">
        <v>12</v>
      </c>
      <c r="C8" s="6" t="s">
        <v>35</v>
      </c>
      <c r="D8" s="6" t="s">
        <v>24</v>
      </c>
      <c r="E8" s="6" t="s">
        <v>15</v>
      </c>
      <c r="F8" s="6" t="s">
        <v>16</v>
      </c>
      <c r="G8" s="6" t="s">
        <v>25</v>
      </c>
      <c r="H8" s="6" t="s">
        <v>18</v>
      </c>
      <c r="I8" s="6" t="s">
        <v>19</v>
      </c>
      <c r="J8" s="6" t="s">
        <v>20</v>
      </c>
      <c r="K8" s="6" t="s">
        <v>21</v>
      </c>
      <c r="L8" s="6" t="s">
        <v>22</v>
      </c>
    </row>
    <row r="9" ht="22.5" customHeight="1">
      <c r="A9" s="5">
        <v>46126.668056967595</v>
      </c>
      <c r="B9" s="6" t="s">
        <v>12</v>
      </c>
      <c r="C9" s="6" t="s">
        <v>13</v>
      </c>
      <c r="D9" s="6" t="s">
        <v>24</v>
      </c>
      <c r="E9" s="6" t="s">
        <v>15</v>
      </c>
      <c r="F9" s="6" t="s">
        <v>16</v>
      </c>
      <c r="G9" s="6" t="s">
        <v>25</v>
      </c>
      <c r="H9" s="6" t="s">
        <v>18</v>
      </c>
      <c r="I9" s="6" t="s">
        <v>19</v>
      </c>
      <c r="J9" s="6" t="s">
        <v>28</v>
      </c>
      <c r="K9" s="6" t="s">
        <v>21</v>
      </c>
      <c r="L9" s="6" t="s">
        <v>22</v>
      </c>
    </row>
    <row r="10" ht="22.5" customHeight="1">
      <c r="A10" s="5">
        <v>46126.67238986111</v>
      </c>
      <c r="B10" s="6" t="s">
        <v>12</v>
      </c>
      <c r="C10" s="6" t="s">
        <v>13</v>
      </c>
      <c r="D10" s="6" t="s">
        <v>24</v>
      </c>
      <c r="E10" s="6" t="s">
        <v>15</v>
      </c>
      <c r="F10" s="6" t="s">
        <v>30</v>
      </c>
      <c r="G10" s="6" t="s">
        <v>17</v>
      </c>
      <c r="H10" s="6" t="s">
        <v>18</v>
      </c>
      <c r="I10" s="6" t="s">
        <v>19</v>
      </c>
      <c r="J10" s="6" t="s">
        <v>20</v>
      </c>
      <c r="K10" s="6" t="s">
        <v>31</v>
      </c>
      <c r="L10" s="6" t="s">
        <v>34</v>
      </c>
    </row>
    <row r="11" ht="22.5" customHeight="1">
      <c r="A11" s="5">
        <v>46126.727712893524</v>
      </c>
      <c r="B11" s="6" t="s">
        <v>12</v>
      </c>
      <c r="C11" s="6" t="s">
        <v>35</v>
      </c>
      <c r="D11" s="6" t="s">
        <v>24</v>
      </c>
      <c r="E11" s="6" t="s">
        <v>15</v>
      </c>
      <c r="F11" s="6" t="s">
        <v>16</v>
      </c>
      <c r="G11" s="6" t="s">
        <v>25</v>
      </c>
      <c r="H11" s="6" t="s">
        <v>26</v>
      </c>
      <c r="I11" s="6" t="s">
        <v>27</v>
      </c>
      <c r="J11" s="6" t="s">
        <v>28</v>
      </c>
      <c r="K11" s="6" t="s">
        <v>21</v>
      </c>
      <c r="L11" s="6" t="s">
        <v>22</v>
      </c>
    </row>
    <row r="12" ht="22.5" customHeight="1">
      <c r="A12" s="5">
        <v>46126.73212775463</v>
      </c>
      <c r="B12" s="6" t="s">
        <v>12</v>
      </c>
      <c r="C12" s="6" t="s">
        <v>13</v>
      </c>
      <c r="D12" s="6" t="s">
        <v>14</v>
      </c>
      <c r="E12" s="6" t="s">
        <v>15</v>
      </c>
      <c r="F12" s="6" t="s">
        <v>30</v>
      </c>
      <c r="G12" s="6" t="s">
        <v>17</v>
      </c>
      <c r="H12" s="6" t="s">
        <v>26</v>
      </c>
      <c r="I12" s="6" t="s">
        <v>19</v>
      </c>
      <c r="J12" s="6" t="s">
        <v>28</v>
      </c>
      <c r="K12" s="6" t="s">
        <v>21</v>
      </c>
      <c r="L12" s="6" t="s">
        <v>22</v>
      </c>
    </row>
    <row r="13" ht="22.5" customHeight="1">
      <c r="A13" s="5">
        <v>46127.87785686343</v>
      </c>
      <c r="B13" s="6" t="s">
        <v>12</v>
      </c>
      <c r="C13" s="6" t="s">
        <v>13</v>
      </c>
      <c r="D13" s="6" t="s">
        <v>14</v>
      </c>
      <c r="E13" s="6" t="s">
        <v>29</v>
      </c>
      <c r="F13" s="6" t="s">
        <v>30</v>
      </c>
      <c r="G13" s="6" t="s">
        <v>25</v>
      </c>
      <c r="H13" s="6" t="s">
        <v>18</v>
      </c>
      <c r="I13" s="6" t="s">
        <v>19</v>
      </c>
      <c r="J13" s="6" t="s">
        <v>28</v>
      </c>
      <c r="K13" s="6" t="s">
        <v>21</v>
      </c>
      <c r="L13" s="6" t="s">
        <v>34</v>
      </c>
    </row>
    <row r="14" ht="22.5" customHeight="1">
      <c r="A14" s="5">
        <v>46131.38758946759</v>
      </c>
      <c r="B14" s="6" t="s">
        <v>32</v>
      </c>
      <c r="C14" s="6" t="s">
        <v>13</v>
      </c>
      <c r="D14" s="6" t="s">
        <v>24</v>
      </c>
      <c r="E14" s="6" t="s">
        <v>15</v>
      </c>
      <c r="F14" s="6" t="s">
        <v>16</v>
      </c>
      <c r="G14" s="6" t="s">
        <v>25</v>
      </c>
      <c r="H14" s="6" t="s">
        <v>18</v>
      </c>
      <c r="I14" s="6" t="s">
        <v>19</v>
      </c>
      <c r="J14" s="6" t="s">
        <v>20</v>
      </c>
      <c r="K14" s="6" t="s">
        <v>31</v>
      </c>
      <c r="L14" s="6" t="s">
        <v>34</v>
      </c>
    </row>
    <row r="15" ht="22.5" customHeight="1">
      <c r="A15" s="5">
        <v>46131.387910370366</v>
      </c>
      <c r="B15" s="6" t="s">
        <v>32</v>
      </c>
      <c r="C15" s="6" t="s">
        <v>13</v>
      </c>
      <c r="D15" s="6" t="s">
        <v>24</v>
      </c>
      <c r="E15" s="6" t="s">
        <v>15</v>
      </c>
      <c r="F15" s="6" t="s">
        <v>30</v>
      </c>
      <c r="G15" s="6" t="s">
        <v>25</v>
      </c>
      <c r="H15" s="6" t="s">
        <v>18</v>
      </c>
      <c r="I15" s="6" t="s">
        <v>27</v>
      </c>
      <c r="J15" s="6" t="s">
        <v>20</v>
      </c>
      <c r="K15" s="6" t="s">
        <v>31</v>
      </c>
      <c r="L15" s="6" t="s">
        <v>34</v>
      </c>
    </row>
    <row r="16" ht="22.5" customHeight="1">
      <c r="A16" s="5">
        <v>46131.82767193287</v>
      </c>
      <c r="B16" s="6" t="s">
        <v>12</v>
      </c>
      <c r="C16" s="6" t="s">
        <v>13</v>
      </c>
      <c r="D16" s="6" t="s">
        <v>24</v>
      </c>
      <c r="E16" s="6" t="s">
        <v>15</v>
      </c>
      <c r="F16" s="6" t="s">
        <v>16</v>
      </c>
      <c r="G16" s="6" t="s">
        <v>25</v>
      </c>
      <c r="H16" s="6" t="s">
        <v>26</v>
      </c>
      <c r="I16" s="6" t="s">
        <v>27</v>
      </c>
      <c r="J16" s="6" t="s">
        <v>20</v>
      </c>
      <c r="K16" s="6" t="s">
        <v>21</v>
      </c>
      <c r="L16" s="6" t="s">
        <v>22</v>
      </c>
    </row>
    <row r="17" ht="22.5" customHeight="1">
      <c r="A17" s="5">
        <v>46132.91409476852</v>
      </c>
      <c r="B17" s="6" t="s">
        <v>32</v>
      </c>
      <c r="C17" s="6" t="s">
        <v>35</v>
      </c>
      <c r="D17" s="6" t="s">
        <v>24</v>
      </c>
      <c r="E17" s="6" t="s">
        <v>15</v>
      </c>
      <c r="F17" s="6" t="s">
        <v>16</v>
      </c>
      <c r="G17" s="6" t="s">
        <v>25</v>
      </c>
      <c r="H17" s="6" t="s">
        <v>18</v>
      </c>
      <c r="I17" s="6" t="s">
        <v>27</v>
      </c>
      <c r="J17" s="6" t="s">
        <v>20</v>
      </c>
      <c r="K17" s="6" t="s">
        <v>21</v>
      </c>
      <c r="L17" s="6" t="s">
        <v>22</v>
      </c>
    </row>
    <row r="18" ht="22.5" customHeight="1">
      <c r="A18" s="5">
        <v>46132.918517453705</v>
      </c>
      <c r="B18" s="6" t="s">
        <v>12</v>
      </c>
      <c r="C18" s="6" t="s">
        <v>13</v>
      </c>
      <c r="D18" s="6" t="s">
        <v>24</v>
      </c>
      <c r="E18" s="6" t="s">
        <v>15</v>
      </c>
      <c r="F18" s="6" t="s">
        <v>16</v>
      </c>
      <c r="G18" s="6" t="s">
        <v>17</v>
      </c>
      <c r="H18" s="6" t="s">
        <v>26</v>
      </c>
      <c r="I18" s="6" t="s">
        <v>27</v>
      </c>
      <c r="J18" s="6" t="s">
        <v>20</v>
      </c>
      <c r="K18" s="6" t="s">
        <v>31</v>
      </c>
      <c r="L18" s="6" t="s">
        <v>22</v>
      </c>
    </row>
    <row r="19" ht="22.5" customHeight="1">
      <c r="A19" s="5">
        <v>46132.91884653935</v>
      </c>
      <c r="B19" s="6" t="s">
        <v>33</v>
      </c>
      <c r="C19" s="6" t="s">
        <v>35</v>
      </c>
      <c r="D19" s="6" t="s">
        <v>24</v>
      </c>
      <c r="E19" s="6" t="s">
        <v>15</v>
      </c>
      <c r="F19" s="6" t="s">
        <v>30</v>
      </c>
      <c r="G19" s="6" t="s">
        <v>25</v>
      </c>
      <c r="H19" s="6" t="s">
        <v>18</v>
      </c>
      <c r="I19" s="6" t="s">
        <v>19</v>
      </c>
      <c r="J19" s="6" t="s">
        <v>28</v>
      </c>
      <c r="K19" s="6" t="s">
        <v>21</v>
      </c>
      <c r="L19" s="6" t="s">
        <v>22</v>
      </c>
    </row>
    <row r="20" ht="22.5" customHeight="1">
      <c r="A20" s="5">
        <v>46132.91916974537</v>
      </c>
      <c r="B20" s="6" t="s">
        <v>32</v>
      </c>
      <c r="C20" s="6" t="s">
        <v>13</v>
      </c>
      <c r="D20" s="6" t="s">
        <v>14</v>
      </c>
      <c r="E20" s="6" t="s">
        <v>29</v>
      </c>
      <c r="F20" s="6" t="s">
        <v>16</v>
      </c>
      <c r="G20" s="6" t="s">
        <v>17</v>
      </c>
      <c r="H20" s="6" t="s">
        <v>18</v>
      </c>
      <c r="I20" s="6" t="s">
        <v>19</v>
      </c>
      <c r="J20" s="6" t="s">
        <v>20</v>
      </c>
      <c r="K20" s="6" t="s">
        <v>31</v>
      </c>
      <c r="L20" s="6" t="s">
        <v>34</v>
      </c>
    </row>
    <row r="21" ht="22.5" customHeight="1">
      <c r="A21" s="5">
        <v>46132.91943759259</v>
      </c>
      <c r="B21" s="6" t="s">
        <v>33</v>
      </c>
      <c r="C21" s="6" t="s">
        <v>23</v>
      </c>
      <c r="D21" s="6" t="s">
        <v>24</v>
      </c>
      <c r="E21" s="6" t="s">
        <v>15</v>
      </c>
      <c r="F21" s="6" t="s">
        <v>16</v>
      </c>
      <c r="G21" s="6" t="s">
        <v>25</v>
      </c>
      <c r="H21" s="6" t="s">
        <v>26</v>
      </c>
      <c r="I21" s="6" t="s">
        <v>27</v>
      </c>
      <c r="J21" s="6" t="s">
        <v>28</v>
      </c>
      <c r="K21" s="6" t="s">
        <v>31</v>
      </c>
      <c r="L21" s="6" t="s">
        <v>34</v>
      </c>
    </row>
    <row r="22" ht="22.5" customHeight="1">
      <c r="A22" s="5">
        <v>46132.91972118056</v>
      </c>
      <c r="B22" s="6" t="s">
        <v>32</v>
      </c>
      <c r="C22" s="6" t="s">
        <v>13</v>
      </c>
      <c r="D22" s="6" t="s">
        <v>14</v>
      </c>
      <c r="E22" s="6" t="s">
        <v>15</v>
      </c>
      <c r="F22" s="6" t="s">
        <v>30</v>
      </c>
      <c r="G22" s="6" t="s">
        <v>17</v>
      </c>
      <c r="H22" s="6" t="s">
        <v>26</v>
      </c>
      <c r="I22" s="6" t="s">
        <v>19</v>
      </c>
      <c r="J22" s="6" t="s">
        <v>28</v>
      </c>
      <c r="K22" s="6" t="s">
        <v>21</v>
      </c>
      <c r="L22" s="6" t="s">
        <v>22</v>
      </c>
    </row>
    <row r="23" ht="22.5" customHeight="1">
      <c r="A23" s="5">
        <v>46132.91974625</v>
      </c>
      <c r="B23" s="6" t="s">
        <v>33</v>
      </c>
      <c r="C23" s="6" t="s">
        <v>13</v>
      </c>
      <c r="D23" s="6" t="s">
        <v>24</v>
      </c>
      <c r="E23" s="6" t="s">
        <v>15</v>
      </c>
      <c r="F23" s="6" t="s">
        <v>16</v>
      </c>
      <c r="G23" s="6" t="s">
        <v>25</v>
      </c>
      <c r="H23" s="6" t="s">
        <v>26</v>
      </c>
      <c r="I23" s="6" t="s">
        <v>19</v>
      </c>
      <c r="J23" s="6" t="s">
        <v>28</v>
      </c>
      <c r="K23" s="6" t="s">
        <v>21</v>
      </c>
      <c r="L23" s="6" t="s">
        <v>22</v>
      </c>
    </row>
    <row r="24" ht="22.5" customHeight="1">
      <c r="A24" s="5">
        <v>46132.91999577546</v>
      </c>
      <c r="B24" s="6" t="s">
        <v>33</v>
      </c>
      <c r="C24" s="6" t="s">
        <v>23</v>
      </c>
      <c r="D24" s="6" t="s">
        <v>24</v>
      </c>
      <c r="E24" s="6" t="s">
        <v>15</v>
      </c>
      <c r="F24" s="6" t="s">
        <v>16</v>
      </c>
      <c r="G24" s="6" t="s">
        <v>25</v>
      </c>
      <c r="H24" s="6" t="s">
        <v>26</v>
      </c>
      <c r="I24" s="6" t="s">
        <v>27</v>
      </c>
      <c r="J24" s="6" t="s">
        <v>28</v>
      </c>
      <c r="K24" s="6" t="s">
        <v>21</v>
      </c>
      <c r="L24" s="6" t="s">
        <v>22</v>
      </c>
    </row>
    <row r="25" ht="22.5" customHeight="1">
      <c r="A25" s="5">
        <v>46132.92027200232</v>
      </c>
      <c r="B25" s="6" t="s">
        <v>32</v>
      </c>
      <c r="C25" s="6" t="s">
        <v>23</v>
      </c>
      <c r="D25" s="6" t="s">
        <v>24</v>
      </c>
      <c r="E25" s="6" t="s">
        <v>15</v>
      </c>
      <c r="F25" s="6" t="s">
        <v>16</v>
      </c>
      <c r="G25" s="6" t="s">
        <v>25</v>
      </c>
      <c r="H25" s="6" t="s">
        <v>18</v>
      </c>
      <c r="I25" s="6" t="s">
        <v>27</v>
      </c>
      <c r="J25" s="6" t="s">
        <v>28</v>
      </c>
      <c r="K25" s="6" t="s">
        <v>21</v>
      </c>
      <c r="L25" s="6" t="s">
        <v>22</v>
      </c>
    </row>
    <row r="26" ht="22.5" customHeight="1">
      <c r="A26" s="5">
        <v>46132.9202797801</v>
      </c>
      <c r="B26" s="6" t="s">
        <v>12</v>
      </c>
      <c r="C26" s="6" t="s">
        <v>35</v>
      </c>
      <c r="D26" s="6" t="s">
        <v>14</v>
      </c>
      <c r="E26" s="6" t="s">
        <v>15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28</v>
      </c>
      <c r="K26" s="6" t="s">
        <v>21</v>
      </c>
      <c r="L26" s="6" t="s">
        <v>22</v>
      </c>
    </row>
    <row r="27" ht="22.5" customHeight="1">
      <c r="A27" s="5">
        <v>46132.92060694445</v>
      </c>
      <c r="B27" s="6" t="s">
        <v>12</v>
      </c>
      <c r="C27" s="6" t="s">
        <v>35</v>
      </c>
      <c r="D27" s="6" t="s">
        <v>24</v>
      </c>
      <c r="E27" s="6" t="s">
        <v>15</v>
      </c>
      <c r="F27" s="6" t="s">
        <v>16</v>
      </c>
      <c r="G27" s="6" t="s">
        <v>25</v>
      </c>
      <c r="H27" s="6" t="s">
        <v>26</v>
      </c>
      <c r="I27" s="6" t="s">
        <v>27</v>
      </c>
      <c r="J27" s="6" t="s">
        <v>20</v>
      </c>
      <c r="K27" s="6" t="s">
        <v>31</v>
      </c>
      <c r="L27" s="6" t="s">
        <v>34</v>
      </c>
    </row>
    <row r="28" ht="22.5" customHeight="1">
      <c r="A28" s="5">
        <v>46132.92062986111</v>
      </c>
      <c r="B28" s="6" t="s">
        <v>32</v>
      </c>
      <c r="C28" s="6" t="s">
        <v>23</v>
      </c>
      <c r="D28" s="6" t="s">
        <v>14</v>
      </c>
      <c r="E28" s="6" t="s">
        <v>15</v>
      </c>
      <c r="F28" s="6" t="s">
        <v>16</v>
      </c>
      <c r="G28" s="6" t="s">
        <v>25</v>
      </c>
      <c r="H28" s="6" t="s">
        <v>26</v>
      </c>
      <c r="I28" s="6" t="s">
        <v>27</v>
      </c>
      <c r="J28" s="6" t="s">
        <v>28</v>
      </c>
      <c r="K28" s="6" t="s">
        <v>21</v>
      </c>
      <c r="L28" s="6" t="s">
        <v>22</v>
      </c>
    </row>
    <row r="29" ht="22.5" customHeight="1">
      <c r="A29" s="5">
        <v>46132.92141065972</v>
      </c>
      <c r="B29" s="6" t="s">
        <v>12</v>
      </c>
      <c r="C29" s="6" t="s">
        <v>35</v>
      </c>
      <c r="D29" s="6" t="s">
        <v>14</v>
      </c>
      <c r="E29" s="6" t="s">
        <v>29</v>
      </c>
      <c r="F29" s="6" t="s">
        <v>30</v>
      </c>
      <c r="G29" s="6" t="s">
        <v>17</v>
      </c>
      <c r="H29" s="6" t="s">
        <v>18</v>
      </c>
      <c r="I29" s="6" t="s">
        <v>19</v>
      </c>
      <c r="J29" s="6" t="s">
        <v>20</v>
      </c>
      <c r="K29" s="6" t="s">
        <v>21</v>
      </c>
      <c r="L29" s="6" t="s">
        <v>22</v>
      </c>
    </row>
    <row r="30" ht="22.5" customHeight="1">
      <c r="A30" s="5">
        <v>46132.921536759255</v>
      </c>
      <c r="B30" s="6" t="s">
        <v>12</v>
      </c>
      <c r="C30" s="6" t="s">
        <v>13</v>
      </c>
      <c r="D30" s="6" t="s">
        <v>24</v>
      </c>
      <c r="E30" s="6" t="s">
        <v>29</v>
      </c>
      <c r="F30" s="6" t="s">
        <v>16</v>
      </c>
      <c r="G30" s="6" t="s">
        <v>25</v>
      </c>
      <c r="H30" s="6" t="s">
        <v>18</v>
      </c>
      <c r="I30" s="6" t="s">
        <v>19</v>
      </c>
      <c r="J30" s="6" t="s">
        <v>20</v>
      </c>
      <c r="K30" s="6" t="s">
        <v>31</v>
      </c>
      <c r="L30" s="6" t="s">
        <v>34</v>
      </c>
    </row>
    <row r="31" ht="22.5" customHeight="1">
      <c r="A31" s="5">
        <v>46132.92191398148</v>
      </c>
      <c r="B31" s="6" t="s">
        <v>33</v>
      </c>
      <c r="C31" s="6" t="s">
        <v>13</v>
      </c>
      <c r="D31" s="6" t="s">
        <v>14</v>
      </c>
      <c r="E31" s="6" t="s">
        <v>15</v>
      </c>
      <c r="F31" s="6" t="s">
        <v>30</v>
      </c>
      <c r="G31" s="6" t="s">
        <v>25</v>
      </c>
      <c r="H31" s="6" t="s">
        <v>18</v>
      </c>
      <c r="I31" s="6" t="s">
        <v>19</v>
      </c>
      <c r="J31" s="6" t="s">
        <v>20</v>
      </c>
      <c r="K31" s="6" t="s">
        <v>31</v>
      </c>
      <c r="L31" s="6" t="s">
        <v>34</v>
      </c>
    </row>
    <row r="32" ht="22.5" customHeight="1">
      <c r="A32" s="5">
        <v>46132.92618681713</v>
      </c>
      <c r="B32" s="6" t="s">
        <v>12</v>
      </c>
      <c r="C32" s="6" t="s">
        <v>35</v>
      </c>
      <c r="D32" s="6" t="s">
        <v>14</v>
      </c>
      <c r="E32" s="6" t="s">
        <v>15</v>
      </c>
      <c r="F32" s="6" t="s">
        <v>16</v>
      </c>
      <c r="G32" s="6" t="s">
        <v>25</v>
      </c>
      <c r="H32" s="6" t="s">
        <v>26</v>
      </c>
      <c r="I32" s="6" t="s">
        <v>19</v>
      </c>
      <c r="J32" s="6" t="s">
        <v>28</v>
      </c>
      <c r="K32" s="6" t="s">
        <v>21</v>
      </c>
      <c r="L32" s="6" t="s">
        <v>22</v>
      </c>
    </row>
    <row r="33" ht="22.5" customHeight="1">
      <c r="A33" s="5">
        <v>46132.976359409724</v>
      </c>
      <c r="B33" s="6" t="s">
        <v>33</v>
      </c>
      <c r="C33" s="6" t="s">
        <v>23</v>
      </c>
      <c r="D33" s="6" t="s">
        <v>24</v>
      </c>
      <c r="E33" s="6" t="s">
        <v>15</v>
      </c>
      <c r="F33" s="6" t="s">
        <v>16</v>
      </c>
      <c r="G33" s="6" t="s">
        <v>25</v>
      </c>
      <c r="H33" s="6" t="s">
        <v>26</v>
      </c>
      <c r="I33" s="6" t="s">
        <v>27</v>
      </c>
      <c r="J33" s="6" t="s">
        <v>28</v>
      </c>
      <c r="K33" s="6" t="s">
        <v>21</v>
      </c>
      <c r="L33" s="6" t="s">
        <v>22</v>
      </c>
    </row>
    <row r="34" ht="22.5" customHeight="1">
      <c r="A34" s="5">
        <v>46132.99340148148</v>
      </c>
      <c r="B34" s="6" t="s">
        <v>33</v>
      </c>
      <c r="C34" s="6" t="s">
        <v>36</v>
      </c>
      <c r="D34" s="6" t="s">
        <v>24</v>
      </c>
      <c r="E34" s="6" t="s">
        <v>15</v>
      </c>
      <c r="F34" s="6" t="s">
        <v>16</v>
      </c>
      <c r="G34" s="6" t="s">
        <v>25</v>
      </c>
      <c r="H34" s="6" t="s">
        <v>26</v>
      </c>
      <c r="I34" s="6" t="s">
        <v>27</v>
      </c>
      <c r="J34" s="6" t="s">
        <v>28</v>
      </c>
      <c r="K34" s="6" t="s">
        <v>21</v>
      </c>
      <c r="L34" s="6" t="s">
        <v>22</v>
      </c>
    </row>
    <row r="35" ht="22.5" customHeight="1">
      <c r="A35" s="5">
        <v>46133.77694107639</v>
      </c>
      <c r="B35" s="6" t="s">
        <v>12</v>
      </c>
      <c r="C35" s="6" t="s">
        <v>23</v>
      </c>
      <c r="D35" s="6" t="s">
        <v>24</v>
      </c>
      <c r="E35" s="6" t="s">
        <v>15</v>
      </c>
      <c r="F35" s="6" t="s">
        <v>16</v>
      </c>
      <c r="G35" s="6" t="s">
        <v>25</v>
      </c>
      <c r="H35" s="6" t="s">
        <v>26</v>
      </c>
      <c r="I35" s="6" t="s">
        <v>19</v>
      </c>
      <c r="J35" s="6" t="s">
        <v>20</v>
      </c>
      <c r="K35" s="6" t="s">
        <v>21</v>
      </c>
      <c r="L35" s="6" t="s">
        <v>22</v>
      </c>
    </row>
    <row r="36" ht="22.5" customHeight="1">
      <c r="A36" s="5">
        <v>46133.77721378472</v>
      </c>
      <c r="B36" s="6" t="s">
        <v>32</v>
      </c>
      <c r="C36" s="6" t="s">
        <v>23</v>
      </c>
      <c r="D36" s="6" t="s">
        <v>24</v>
      </c>
      <c r="E36" s="6" t="s">
        <v>15</v>
      </c>
      <c r="F36" s="6" t="s">
        <v>16</v>
      </c>
      <c r="G36" s="6" t="s">
        <v>25</v>
      </c>
      <c r="H36" s="6" t="s">
        <v>18</v>
      </c>
      <c r="I36" s="6" t="s">
        <v>19</v>
      </c>
      <c r="J36" s="6" t="s">
        <v>20</v>
      </c>
      <c r="K36" s="6" t="s">
        <v>21</v>
      </c>
      <c r="L36" s="6" t="s">
        <v>22</v>
      </c>
    </row>
    <row r="37" ht="22.5" customHeight="1">
      <c r="A37" s="5">
        <v>46133.777502013894</v>
      </c>
      <c r="B37" s="6" t="s">
        <v>12</v>
      </c>
      <c r="C37" s="6" t="s">
        <v>35</v>
      </c>
      <c r="D37" s="6" t="s">
        <v>14</v>
      </c>
      <c r="E37" s="6" t="s">
        <v>15</v>
      </c>
      <c r="F37" s="6" t="s">
        <v>16</v>
      </c>
      <c r="G37" s="6" t="s">
        <v>25</v>
      </c>
      <c r="H37" s="6" t="s">
        <v>18</v>
      </c>
      <c r="I37" s="6" t="s">
        <v>19</v>
      </c>
      <c r="J37" s="6" t="s">
        <v>28</v>
      </c>
      <c r="K37" s="6" t="s">
        <v>21</v>
      </c>
      <c r="L37" s="6" t="s">
        <v>22</v>
      </c>
    </row>
    <row r="38" ht="22.5" customHeight="1">
      <c r="A38" s="5">
        <v>46133.77786635417</v>
      </c>
      <c r="B38" s="6" t="s">
        <v>33</v>
      </c>
      <c r="C38" s="6" t="s">
        <v>23</v>
      </c>
      <c r="D38" s="6" t="s">
        <v>24</v>
      </c>
      <c r="E38" s="6" t="s">
        <v>29</v>
      </c>
      <c r="F38" s="6" t="s">
        <v>30</v>
      </c>
      <c r="G38" s="6" t="s">
        <v>25</v>
      </c>
      <c r="H38" s="6" t="s">
        <v>26</v>
      </c>
      <c r="I38" s="6" t="s">
        <v>19</v>
      </c>
      <c r="J38" s="6" t="s">
        <v>28</v>
      </c>
      <c r="K38" s="6" t="s">
        <v>21</v>
      </c>
      <c r="L38" s="6" t="s">
        <v>22</v>
      </c>
    </row>
    <row r="39" ht="22.5" customHeight="1">
      <c r="A39" s="5">
        <v>46133.81857775463</v>
      </c>
      <c r="B39" s="6" t="s">
        <v>32</v>
      </c>
      <c r="C39" s="6" t="s">
        <v>13</v>
      </c>
      <c r="D39" s="6" t="s">
        <v>14</v>
      </c>
      <c r="E39" s="6" t="s">
        <v>15</v>
      </c>
      <c r="F39" s="6" t="s">
        <v>16</v>
      </c>
      <c r="G39" s="6" t="s">
        <v>25</v>
      </c>
      <c r="H39" s="6" t="s">
        <v>26</v>
      </c>
      <c r="I39" s="6" t="s">
        <v>27</v>
      </c>
      <c r="J39" s="6" t="s">
        <v>28</v>
      </c>
      <c r="K39" s="6" t="s">
        <v>21</v>
      </c>
      <c r="L39" s="6" t="s">
        <v>22</v>
      </c>
    </row>
    <row r="40" ht="22.5" customHeight="1">
      <c r="A40" s="5">
        <v>46133.81893238426</v>
      </c>
      <c r="B40" s="6" t="s">
        <v>12</v>
      </c>
      <c r="C40" s="6" t="s">
        <v>13</v>
      </c>
      <c r="D40" s="6" t="s">
        <v>24</v>
      </c>
      <c r="E40" s="6" t="s">
        <v>15</v>
      </c>
      <c r="F40" s="6" t="s">
        <v>30</v>
      </c>
      <c r="G40" s="6" t="s">
        <v>17</v>
      </c>
      <c r="H40" s="6" t="s">
        <v>26</v>
      </c>
      <c r="I40" s="6" t="s">
        <v>27</v>
      </c>
      <c r="J40" s="6" t="s">
        <v>28</v>
      </c>
      <c r="K40" s="6" t="s">
        <v>21</v>
      </c>
      <c r="L40" s="6" t="s">
        <v>22</v>
      </c>
    </row>
    <row r="41" ht="22.5" customHeight="1">
      <c r="A41" s="5">
        <v>46140.675174398144</v>
      </c>
      <c r="B41" s="6" t="s">
        <v>12</v>
      </c>
      <c r="C41" s="6" t="s">
        <v>13</v>
      </c>
      <c r="D41" s="6" t="s">
        <v>14</v>
      </c>
      <c r="E41" s="6" t="s">
        <v>15</v>
      </c>
      <c r="F41" s="6" t="s">
        <v>16</v>
      </c>
      <c r="G41" s="6" t="s">
        <v>25</v>
      </c>
      <c r="H41" s="6" t="s">
        <v>26</v>
      </c>
      <c r="I41" s="6" t="s">
        <v>27</v>
      </c>
      <c r="J41" s="6" t="s">
        <v>20</v>
      </c>
      <c r="K41" s="6" t="s">
        <v>21</v>
      </c>
      <c r="L41" s="6" t="s">
        <v>34</v>
      </c>
    </row>
    <row r="61">
      <c r="A61" s="7" t="s">
        <v>37</v>
      </c>
      <c r="B61" s="8" t="s">
        <v>38</v>
      </c>
      <c r="C61" s="8" t="s">
        <v>39</v>
      </c>
      <c r="D61" s="8" t="s">
        <v>40</v>
      </c>
    </row>
    <row r="62">
      <c r="A62" s="9" t="s">
        <v>24</v>
      </c>
      <c r="B62" s="10">
        <v>25.0</v>
      </c>
      <c r="C62" s="11">
        <f t="shared" ref="C62:C63" si="1">B62/$B$64</f>
        <v>0.625</v>
      </c>
      <c r="D62" s="11">
        <f>C62</f>
        <v>0.625</v>
      </c>
    </row>
    <row r="63">
      <c r="A63" s="9" t="s">
        <v>14</v>
      </c>
      <c r="B63" s="10">
        <v>15.0</v>
      </c>
      <c r="C63" s="11">
        <f t="shared" si="1"/>
        <v>0.375</v>
      </c>
      <c r="D63" s="11">
        <f>C63+D62</f>
        <v>1</v>
      </c>
    </row>
    <row r="64">
      <c r="A64" s="8" t="s">
        <v>41</v>
      </c>
      <c r="B64" s="10">
        <f t="shared" ref="B64:C64" si="2">SUM(B62:B63)</f>
        <v>40</v>
      </c>
      <c r="C64" s="11">
        <f t="shared" si="2"/>
        <v>1</v>
      </c>
      <c r="D64" s="12"/>
    </row>
    <row r="65">
      <c r="A65" s="12"/>
      <c r="B65" s="12"/>
      <c r="C65" s="12"/>
      <c r="D65" s="12"/>
    </row>
    <row r="66">
      <c r="A66" s="7" t="s">
        <v>42</v>
      </c>
      <c r="B66" s="8" t="s">
        <v>38</v>
      </c>
      <c r="C66" s="8" t="s">
        <v>39</v>
      </c>
      <c r="D66" s="8" t="s">
        <v>40</v>
      </c>
    </row>
    <row r="67">
      <c r="A67" s="9" t="s">
        <v>35</v>
      </c>
      <c r="B67" s="10">
        <v>9.0</v>
      </c>
      <c r="C67" s="11">
        <f t="shared" ref="C67:C70" si="3">B67/$B$64</f>
        <v>0.225</v>
      </c>
      <c r="D67" s="11">
        <f>C67</f>
        <v>0.225</v>
      </c>
    </row>
    <row r="68">
      <c r="A68" s="9" t="s">
        <v>13</v>
      </c>
      <c r="B68" s="10">
        <v>20.0</v>
      </c>
      <c r="C68" s="11">
        <f t="shared" si="3"/>
        <v>0.5</v>
      </c>
      <c r="D68" s="11">
        <f t="shared" ref="D68:D70" si="4">C68+D67</f>
        <v>0.725</v>
      </c>
    </row>
    <row r="69">
      <c r="A69" s="13" t="s">
        <v>23</v>
      </c>
      <c r="B69" s="10">
        <v>10.0</v>
      </c>
      <c r="C69" s="11">
        <f t="shared" si="3"/>
        <v>0.25</v>
      </c>
      <c r="D69" s="11">
        <f t="shared" si="4"/>
        <v>0.975</v>
      </c>
    </row>
    <row r="70">
      <c r="A70" s="13" t="s">
        <v>36</v>
      </c>
      <c r="B70" s="10">
        <v>1.0</v>
      </c>
      <c r="C70" s="11">
        <f t="shared" si="3"/>
        <v>0.025</v>
      </c>
      <c r="D70" s="11">
        <f t="shared" si="4"/>
        <v>1</v>
      </c>
    </row>
    <row r="71">
      <c r="A71" s="8" t="s">
        <v>41</v>
      </c>
      <c r="B71" s="10">
        <v>40.0</v>
      </c>
      <c r="C71" s="12"/>
      <c r="D71" s="12"/>
    </row>
    <row r="72">
      <c r="A72" s="12"/>
      <c r="B72" s="12"/>
      <c r="C72" s="12"/>
      <c r="D72" s="12"/>
    </row>
    <row r="73">
      <c r="A73" s="7" t="s">
        <v>1</v>
      </c>
      <c r="B73" s="8" t="s">
        <v>38</v>
      </c>
      <c r="C73" s="8" t="s">
        <v>39</v>
      </c>
      <c r="D73" s="8" t="s">
        <v>40</v>
      </c>
    </row>
    <row r="74">
      <c r="A74" s="9" t="s">
        <v>12</v>
      </c>
      <c r="B74" s="10">
        <v>21.0</v>
      </c>
      <c r="C74" s="11">
        <f t="shared" ref="C74:C76" si="5">B74/$B$64</f>
        <v>0.525</v>
      </c>
      <c r="D74" s="11">
        <f>C74</f>
        <v>0.525</v>
      </c>
    </row>
    <row r="75">
      <c r="A75" s="13" t="s">
        <v>33</v>
      </c>
      <c r="B75" s="10">
        <v>9.0</v>
      </c>
      <c r="C75" s="11">
        <f t="shared" si="5"/>
        <v>0.225</v>
      </c>
      <c r="D75" s="11">
        <f t="shared" ref="D75:D76" si="6">C75+D74</f>
        <v>0.75</v>
      </c>
    </row>
    <row r="76">
      <c r="A76" s="9" t="s">
        <v>32</v>
      </c>
      <c r="B76" s="10">
        <v>10.0</v>
      </c>
      <c r="C76" s="11">
        <f t="shared" si="5"/>
        <v>0.25</v>
      </c>
      <c r="D76" s="11">
        <f t="shared" si="6"/>
        <v>1</v>
      </c>
    </row>
    <row r="77">
      <c r="A77" s="8" t="s">
        <v>41</v>
      </c>
      <c r="B77" s="10">
        <v>40.0</v>
      </c>
      <c r="C77" s="12"/>
      <c r="D77" s="12"/>
    </row>
  </sheetData>
  <drawing r:id="rId1"/>
  <tableParts count="1">
    <tablePart r:id="rId3"/>
  </tableParts>
</worksheet>
</file>